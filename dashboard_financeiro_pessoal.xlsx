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mil\Downloads\Kamila - Estudos para Analista de Dados\Curso de excel - básico\Projetos no excel\"/>
    </mc:Choice>
  </mc:AlternateContent>
  <xr:revisionPtr revIDLastSave="0" documentId="13_ncr:1_{1F28D677-1610-4713-8D21-931942F56156}" xr6:coauthVersionLast="47" xr6:coauthVersionMax="47" xr10:uidLastSave="{00000000-0000-0000-0000-000000000000}"/>
  <bookViews>
    <workbookView xWindow="-108" yWindow="-108" windowWidth="23256" windowHeight="12456" tabRatio="389" xr2:uid="{57BCF021-CA66-400A-B88C-E2A220F842B9}"/>
  </bookViews>
  <sheets>
    <sheet name="Lançamento" sheetId="4" r:id="rId1"/>
    <sheet name="Resumo Mensal" sheetId="5" r:id="rId2"/>
    <sheet name="Dashboard" sheetId="6" r:id="rId3"/>
  </sheets>
  <definedNames>
    <definedName name="_xlnm._FilterDatabase" localSheetId="0" hidden="1">Lançamento!$A$3:$G$3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6" l="1"/>
  <c r="B4" i="6"/>
  <c r="D21" i="5"/>
  <c r="D20" i="5"/>
  <c r="D19" i="5"/>
  <c r="D18" i="5"/>
  <c r="D17" i="5"/>
  <c r="D16" i="5"/>
  <c r="D15" i="5"/>
  <c r="D13" i="5"/>
  <c r="D12" i="5"/>
  <c r="D11" i="5"/>
  <c r="C6" i="5"/>
  <c r="C5" i="5"/>
  <c r="C4" i="5"/>
  <c r="M20" i="6"/>
  <c r="M19" i="6"/>
  <c r="M18" i="6"/>
  <c r="M17" i="6"/>
  <c r="M16" i="6"/>
  <c r="M15" i="6"/>
  <c r="M14" i="6"/>
  <c r="M13" i="6"/>
  <c r="M12" i="6"/>
  <c r="M11" i="6"/>
  <c r="H4" i="6"/>
  <c r="C21" i="5"/>
  <c r="C20" i="5"/>
  <c r="C19" i="5"/>
  <c r="C18" i="5"/>
  <c r="C17" i="5"/>
  <c r="C16" i="5"/>
  <c r="C15" i="5"/>
  <c r="C13" i="5"/>
  <c r="C12" i="5"/>
  <c r="C11" i="5"/>
  <c r="C7" i="5"/>
  <c r="F4" i="6" l="1"/>
</calcChain>
</file>

<file path=xl/sharedStrings.xml><?xml version="1.0" encoding="utf-8"?>
<sst xmlns="http://schemas.openxmlformats.org/spreadsheetml/2006/main" count="113" uniqueCount="65">
  <si>
    <t>CONTROLE DE GASTOS PESSOAIS</t>
  </si>
  <si>
    <t>ID</t>
  </si>
  <si>
    <t>Data</t>
  </si>
  <si>
    <t>Descrição</t>
  </si>
  <si>
    <t>Categoria</t>
  </si>
  <si>
    <t>Tipo</t>
  </si>
  <si>
    <t>Valor (R$)</t>
  </si>
  <si>
    <t>Observação</t>
  </si>
  <si>
    <t>Supermercado</t>
  </si>
  <si>
    <t>Alimentação</t>
  </si>
  <si>
    <t>Despesa</t>
  </si>
  <si>
    <t>Compra Mensal</t>
  </si>
  <si>
    <t>Uber</t>
  </si>
  <si>
    <t>Transporte</t>
  </si>
  <si>
    <t>Transporte Mensal</t>
  </si>
  <si>
    <t>Salário</t>
  </si>
  <si>
    <t>Outros</t>
  </si>
  <si>
    <t>Receita</t>
  </si>
  <si>
    <t>Salário de Março</t>
  </si>
  <si>
    <t>Netflix</t>
  </si>
  <si>
    <t>Assinaturas</t>
  </si>
  <si>
    <t>Entretenimento</t>
  </si>
  <si>
    <t>Icloud</t>
  </si>
  <si>
    <t>Farmácia</t>
  </si>
  <si>
    <t>Saúde</t>
  </si>
  <si>
    <t>Remédios</t>
  </si>
  <si>
    <t>Aluguel</t>
  </si>
  <si>
    <t>Moradia</t>
  </si>
  <si>
    <t>Casa</t>
  </si>
  <si>
    <t>Faculdade</t>
  </si>
  <si>
    <t>Educação</t>
  </si>
  <si>
    <t>Estudos</t>
  </si>
  <si>
    <t>Restaurante</t>
  </si>
  <si>
    <t>Almoço</t>
  </si>
  <si>
    <t>Freelancer</t>
  </si>
  <si>
    <t>Projeto PBI e Excel</t>
  </si>
  <si>
    <t>Academia</t>
  </si>
  <si>
    <t>Cinema</t>
  </si>
  <si>
    <t>Lazer</t>
  </si>
  <si>
    <t>Spotify</t>
  </si>
  <si>
    <t>Bar</t>
  </si>
  <si>
    <t>Roupas</t>
  </si>
  <si>
    <t>Vestuários</t>
  </si>
  <si>
    <t>Calças e blusas</t>
  </si>
  <si>
    <t>Gasolina</t>
  </si>
  <si>
    <t>Investimentos</t>
  </si>
  <si>
    <t>Tesouro Direto</t>
  </si>
  <si>
    <t>Investimento</t>
  </si>
  <si>
    <t>Aporte Mensal</t>
  </si>
  <si>
    <t>Resumo Mensal - Março 2026</t>
  </si>
  <si>
    <t>Visão Geral do Mês</t>
  </si>
  <si>
    <t>Total de Receitas</t>
  </si>
  <si>
    <t>Total de Despesas</t>
  </si>
  <si>
    <t>Saldo do Mês</t>
  </si>
  <si>
    <t>Nº Lançamentos</t>
  </si>
  <si>
    <t>Despesas por Categoria</t>
  </si>
  <si>
    <t>Total Gasto</t>
  </si>
  <si>
    <t>% do Total</t>
  </si>
  <si>
    <t>Total Despesas</t>
  </si>
  <si>
    <t>DASHBOARD FINANCEIRO</t>
  </si>
  <si>
    <t>RECEITAS TOTAIS</t>
  </si>
  <si>
    <t>DESPESAS TOTAIS</t>
  </si>
  <si>
    <t>SALDO DO MÊS</t>
  </si>
  <si>
    <t>Nº LANÇAMENTOS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</si>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</sst>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5"/>
      <color theme="0"/>
      <name val="Arial"/>
      <family val="2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12"/>
      <color theme="0"/>
      <name val="Arial"/>
      <family val="2"/>
    </font>
    <font>
      <sz val="2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3F2918"/>
        <bgColor indexed="64"/>
      </patternFill>
    </fill>
    <fill>
      <patternFill patternType="solid">
        <fgColor rgb="FF8A6D5D"/>
        <bgColor indexed="64"/>
      </patternFill>
    </fill>
    <fill>
      <patternFill patternType="solid">
        <fgColor rgb="FFC8BAAB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0">
    <xf numFmtId="0" fontId="0" fillId="0" borderId="0" xfId="0"/>
    <xf numFmtId="0" fontId="0" fillId="0" borderId="1" xfId="0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14" fontId="2" fillId="3" borderId="2" xfId="0" applyNumberFormat="1" applyFont="1" applyFill="1" applyBorder="1" applyAlignment="1">
      <alignment horizontal="left"/>
    </xf>
    <xf numFmtId="0" fontId="2" fillId="3" borderId="4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left"/>
    </xf>
    <xf numFmtId="14" fontId="2" fillId="4" borderId="2" xfId="0" applyNumberFormat="1" applyFont="1" applyFill="1" applyBorder="1" applyAlignment="1">
      <alignment horizontal="left"/>
    </xf>
    <xf numFmtId="0" fontId="2" fillId="4" borderId="3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left"/>
    </xf>
    <xf numFmtId="0" fontId="2" fillId="3" borderId="3" xfId="0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left"/>
    </xf>
    <xf numFmtId="14" fontId="2" fillId="3" borderId="1" xfId="0" applyNumberFormat="1" applyFont="1" applyFill="1" applyBorder="1" applyAlignment="1">
      <alignment horizontal="left"/>
    </xf>
    <xf numFmtId="0" fontId="6" fillId="3" borderId="10" xfId="0" applyFont="1" applyFill="1" applyBorder="1" applyAlignment="1">
      <alignment horizontal="center"/>
    </xf>
    <xf numFmtId="14" fontId="2" fillId="3" borderId="10" xfId="0" applyNumberFormat="1" applyFont="1" applyFill="1" applyBorder="1" applyAlignment="1">
      <alignment horizontal="left"/>
    </xf>
    <xf numFmtId="0" fontId="2" fillId="3" borderId="10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164" fontId="2" fillId="3" borderId="10" xfId="0" applyNumberFormat="1" applyFont="1" applyFill="1" applyBorder="1" applyAlignment="1">
      <alignment horizontal="left"/>
    </xf>
    <xf numFmtId="0" fontId="0" fillId="2" borderId="1" xfId="0" applyFill="1" applyBorder="1" applyAlignment="1">
      <alignment vertical="center"/>
    </xf>
    <xf numFmtId="0" fontId="0" fillId="2" borderId="1" xfId="0" applyFill="1" applyBorder="1"/>
    <xf numFmtId="0" fontId="0" fillId="0" borderId="1" xfId="0" applyBorder="1"/>
    <xf numFmtId="0" fontId="0" fillId="2" borderId="10" xfId="0" applyFill="1" applyBorder="1"/>
    <xf numFmtId="0" fontId="0" fillId="3" borderId="1" xfId="0" applyFill="1" applyBorder="1"/>
    <xf numFmtId="0" fontId="4" fillId="3" borderId="1" xfId="0" applyFont="1" applyFill="1" applyBorder="1"/>
    <xf numFmtId="0" fontId="0" fillId="4" borderId="1" xfId="0" applyFill="1" applyBorder="1"/>
    <xf numFmtId="0" fontId="4" fillId="4" borderId="1" xfId="0" applyFont="1" applyFill="1" applyBorder="1"/>
    <xf numFmtId="44" fontId="4" fillId="4" borderId="1" xfId="1" applyFont="1" applyFill="1" applyBorder="1" applyAlignment="1">
      <alignment horizontal="center"/>
    </xf>
    <xf numFmtId="10" fontId="4" fillId="4" borderId="1" xfId="0" applyNumberFormat="1" applyFont="1" applyFill="1" applyBorder="1" applyAlignment="1">
      <alignment horizontal="left"/>
    </xf>
    <xf numFmtId="44" fontId="4" fillId="3" borderId="1" xfId="1" applyFont="1" applyFill="1" applyBorder="1" applyAlignment="1">
      <alignment horizontal="center"/>
    </xf>
    <xf numFmtId="10" fontId="4" fillId="3" borderId="1" xfId="0" applyNumberFormat="1" applyFont="1" applyFill="1" applyBorder="1" applyAlignment="1">
      <alignment horizontal="left"/>
    </xf>
    <xf numFmtId="10" fontId="4" fillId="3" borderId="1" xfId="1" applyNumberFormat="1" applyFont="1" applyFill="1" applyBorder="1" applyAlignment="1">
      <alignment horizontal="left"/>
    </xf>
    <xf numFmtId="0" fontId="4" fillId="2" borderId="11" xfId="0" applyFont="1" applyFill="1" applyBorder="1"/>
    <xf numFmtId="44" fontId="4" fillId="2" borderId="0" xfId="0" applyNumberFormat="1" applyFont="1" applyFill="1"/>
    <xf numFmtId="10" fontId="4" fillId="2" borderId="0" xfId="0" applyNumberFormat="1" applyFont="1" applyFill="1" applyAlignment="1">
      <alignment horizontal="left"/>
    </xf>
    <xf numFmtId="0" fontId="0" fillId="5" borderId="1" xfId="0" applyFill="1" applyBorder="1" applyAlignment="1">
      <alignment horizontal="center" vertical="center"/>
    </xf>
    <xf numFmtId="44" fontId="0" fillId="5" borderId="1" xfId="0" applyNumberFormat="1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44" fontId="0" fillId="6" borderId="1" xfId="0" applyNumberFormat="1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44" fontId="0" fillId="7" borderId="1" xfId="0" applyNumberFormat="1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9" fillId="2" borderId="1" xfId="0" applyFont="1" applyFill="1" applyBorder="1"/>
    <xf numFmtId="164" fontId="0" fillId="0" borderId="6" xfId="0" applyNumberFormat="1" applyBorder="1"/>
    <xf numFmtId="164" fontId="0" fillId="0" borderId="1" xfId="0" applyNumberFormat="1" applyBorder="1"/>
    <xf numFmtId="0" fontId="5" fillId="2" borderId="0" xfId="0" applyFont="1" applyFill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9">
    <dxf>
      <font>
        <color rgb="FF00B0F0"/>
      </font>
    </dxf>
    <dxf>
      <font>
        <color rgb="FF00B0F0"/>
      </font>
    </dxf>
    <dxf>
      <font>
        <color rgb="FF00B0F0"/>
      </font>
    </dxf>
    <dxf>
      <font>
        <color rgb="FF9C0006"/>
      </font>
    </dxf>
    <dxf>
      <font>
        <color theme="9"/>
      </font>
    </dxf>
    <dxf>
      <font>
        <color rgb="FF37633C"/>
      </font>
    </dxf>
    <dxf>
      <font>
        <color theme="9" tint="-0.24994659260841701"/>
      </font>
    </dxf>
    <dxf>
      <font>
        <color rgb="FF9C0006"/>
      </font>
    </dxf>
    <dxf>
      <font>
        <color theme="9"/>
      </font>
    </dxf>
  </dxfs>
  <tableStyles count="0" defaultTableStyle="TableStyleMedium2" defaultPivotStyle="PivotStyleLight16"/>
  <colors>
    <mruColors>
      <color rgb="FFC8BAAB"/>
      <color rgb="FF3F2918"/>
      <color rgb="FF8A6D5D"/>
      <color rgb="FF37633C"/>
      <color rgb="FF84757B"/>
      <color rgb="FF332A38"/>
      <color rgb="FF9C94A4"/>
      <color rgb="FF246E26"/>
      <color rgb="FFE2EE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09-4F9E-B8F9-69DA4B0A85F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09-4F9E-B8F9-69DA4B0A85F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109-4F9E-B8F9-69DA4B0A85F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109-4F9E-B8F9-69DA4B0A85F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109-4F9E-B8F9-69DA4B0A85F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109-4F9E-B8F9-69DA4B0A85F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109-4F9E-B8F9-69DA4B0A85F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109-4F9E-B8F9-69DA4B0A85F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109-4F9E-B8F9-69DA4B0A85F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109-4F9E-B8F9-69DA4B0A85FF}"/>
              </c:ext>
            </c:extLst>
          </c:dPt>
          <c:cat>
            <c:strRef>
              <c:f>Dashboard!$L$11:$L$20</c:f>
              <c:strCache>
                <c:ptCount val="10"/>
                <c:pt idx="0">
                  <c:v>Alimentação</c:v>
                </c:pt>
                <c:pt idx="1">
                  <c:v>Transporte</c:v>
                </c:pt>
                <c:pt idx="2">
                  <c:v>Assinaturas</c:v>
                </c:pt>
                <c:pt idx="3">
                  <c:v>Outros</c:v>
                </c:pt>
                <c:pt idx="4">
                  <c:v>Saúde</c:v>
                </c:pt>
                <c:pt idx="5">
                  <c:v>Moradia</c:v>
                </c:pt>
                <c:pt idx="6">
                  <c:v>Educação</c:v>
                </c:pt>
                <c:pt idx="7">
                  <c:v>Lazer</c:v>
                </c:pt>
                <c:pt idx="8">
                  <c:v>Vestuários</c:v>
                </c:pt>
                <c:pt idx="9">
                  <c:v>Investimentos</c:v>
                </c:pt>
              </c:strCache>
            </c:strRef>
          </c:cat>
          <c:val>
            <c:numRef>
              <c:f>Dashboard!$M$11:$M$20</c:f>
              <c:numCache>
                <c:formatCode>_("R$"* #,##0.00_);_("R$"* \(#,##0.00\);_("R$"* "-"??_);_(@_)</c:formatCode>
                <c:ptCount val="10"/>
                <c:pt idx="0">
                  <c:v>1110</c:v>
                </c:pt>
                <c:pt idx="1">
                  <c:v>430</c:v>
                </c:pt>
                <c:pt idx="2">
                  <c:v>64.699999999999989</c:v>
                </c:pt>
                <c:pt idx="3">
                  <c:v>0</c:v>
                </c:pt>
                <c:pt idx="4">
                  <c:v>196.49</c:v>
                </c:pt>
                <c:pt idx="5">
                  <c:v>1100</c:v>
                </c:pt>
                <c:pt idx="6">
                  <c:v>450</c:v>
                </c:pt>
                <c:pt idx="7">
                  <c:v>398.5</c:v>
                </c:pt>
                <c:pt idx="8">
                  <c:v>250</c:v>
                </c:pt>
                <c:pt idx="9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FB-4569-836D-26FEE3184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891540</xdr:colOff>
      <xdr:row>0</xdr:row>
      <xdr:rowOff>410870</xdr:rowOff>
    </xdr:from>
    <xdr:to>
      <xdr:col>2</xdr:col>
      <xdr:colOff>60960</xdr:colOff>
      <xdr:row>0</xdr:row>
      <xdr:rowOff>632396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A576E50-EA95-485E-B8B3-F7582A981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1140" y="410870"/>
          <a:ext cx="198120" cy="2215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144780</xdr:colOff>
      <xdr:row>6</xdr:row>
      <xdr:rowOff>133350</xdr:rowOff>
    </xdr:from>
    <xdr:to>
      <xdr:col>7</xdr:col>
      <xdr:colOff>800100</xdr:colOff>
      <xdr:row>25</xdr:row>
      <xdr:rowOff>137160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43694D1-F502-3A77-901E-8FCE4231C7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8C286-5480-4DD7-93EB-2F1B448BAD0A}">
  <sheetPr>
    <tabColor rgb="FFC8BAAB"/>
  </sheetPr>
  <dimension ref="A1:G33"/>
  <sheetViews>
    <sheetView tabSelected="1" workbookViewId="0">
      <selection activeCell="F9" sqref="F9"/>
    </sheetView>
  </sheetViews>
  <sheetFormatPr defaultColWidth="0" defaultRowHeight="14.4" zeroHeight="1" x14ac:dyDescent="0.3"/>
  <cols>
    <col min="1" max="1" width="8.88671875" customWidth="1"/>
    <col min="2" max="2" width="15" customWidth="1"/>
    <col min="3" max="3" width="20.109375" customWidth="1"/>
    <col min="4" max="4" width="24" customWidth="1"/>
    <col min="5" max="5" width="16.21875" customWidth="1"/>
    <col min="6" max="6" width="20.33203125" customWidth="1"/>
    <col min="7" max="7" width="26.44140625" customWidth="1"/>
    <col min="8" max="16384" width="8.88671875" hidden="1"/>
  </cols>
  <sheetData>
    <row r="1" spans="1:7" ht="64.8" customHeight="1" x14ac:dyDescent="0.3">
      <c r="A1" s="53" t="s">
        <v>0</v>
      </c>
      <c r="B1" s="53"/>
      <c r="C1" s="53"/>
      <c r="D1" s="53"/>
      <c r="E1" s="53"/>
      <c r="F1" s="53"/>
      <c r="G1" s="54"/>
    </row>
    <row r="2" spans="1:7" x14ac:dyDescent="0.3">
      <c r="A2" s="55"/>
      <c r="B2" s="55"/>
      <c r="C2" s="55"/>
      <c r="D2" s="55"/>
      <c r="E2" s="55"/>
      <c r="F2" s="55"/>
      <c r="G2" s="56"/>
    </row>
    <row r="3" spans="1:7" x14ac:dyDescent="0.3">
      <c r="A3" s="5" t="s">
        <v>1</v>
      </c>
      <c r="B3" s="3" t="s">
        <v>2</v>
      </c>
      <c r="C3" s="4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3">
      <c r="A4" s="7">
        <v>1</v>
      </c>
      <c r="B4" s="9">
        <v>46082</v>
      </c>
      <c r="C4" s="10" t="s">
        <v>8</v>
      </c>
      <c r="D4" s="11" t="s">
        <v>9</v>
      </c>
      <c r="E4" s="12" t="s">
        <v>10</v>
      </c>
      <c r="F4" s="13">
        <v>1000</v>
      </c>
      <c r="G4" s="11" t="s">
        <v>11</v>
      </c>
    </row>
    <row r="5" spans="1:7" x14ac:dyDescent="0.3">
      <c r="A5" s="8">
        <v>2</v>
      </c>
      <c r="B5" s="14">
        <v>46083</v>
      </c>
      <c r="C5" s="15" t="s">
        <v>12</v>
      </c>
      <c r="D5" s="16" t="s">
        <v>13</v>
      </c>
      <c r="E5" s="17" t="s">
        <v>10</v>
      </c>
      <c r="F5" s="18">
        <v>250</v>
      </c>
      <c r="G5" s="16" t="s">
        <v>14</v>
      </c>
    </row>
    <row r="6" spans="1:7" x14ac:dyDescent="0.3">
      <c r="A6" s="7">
        <v>3</v>
      </c>
      <c r="B6" s="9">
        <v>46084</v>
      </c>
      <c r="C6" s="19" t="s">
        <v>19</v>
      </c>
      <c r="D6" s="11" t="s">
        <v>20</v>
      </c>
      <c r="E6" s="12" t="s">
        <v>10</v>
      </c>
      <c r="F6" s="13">
        <v>20.9</v>
      </c>
      <c r="G6" s="11" t="s">
        <v>21</v>
      </c>
    </row>
    <row r="7" spans="1:7" x14ac:dyDescent="0.3">
      <c r="A7" s="8">
        <v>4</v>
      </c>
      <c r="B7" s="20">
        <v>46086</v>
      </c>
      <c r="C7" s="16" t="s">
        <v>15</v>
      </c>
      <c r="D7" s="16" t="s">
        <v>16</v>
      </c>
      <c r="E7" s="17" t="s">
        <v>17</v>
      </c>
      <c r="F7" s="18">
        <v>4750</v>
      </c>
      <c r="G7" s="16" t="s">
        <v>18</v>
      </c>
    </row>
    <row r="8" spans="1:7" x14ac:dyDescent="0.3">
      <c r="A8" s="7">
        <v>5</v>
      </c>
      <c r="B8" s="21">
        <v>46087</v>
      </c>
      <c r="C8" s="11" t="s">
        <v>23</v>
      </c>
      <c r="D8" s="11" t="s">
        <v>24</v>
      </c>
      <c r="E8" s="12" t="s">
        <v>10</v>
      </c>
      <c r="F8" s="13">
        <v>96.5</v>
      </c>
      <c r="G8" s="11" t="s">
        <v>25</v>
      </c>
    </row>
    <row r="9" spans="1:7" x14ac:dyDescent="0.3">
      <c r="A9" s="8">
        <v>6</v>
      </c>
      <c r="B9" s="20">
        <v>46089</v>
      </c>
      <c r="C9" s="16" t="s">
        <v>26</v>
      </c>
      <c r="D9" s="16" t="s">
        <v>27</v>
      </c>
      <c r="E9" s="17" t="s">
        <v>10</v>
      </c>
      <c r="F9" s="18">
        <v>1100</v>
      </c>
      <c r="G9" s="16" t="s">
        <v>28</v>
      </c>
    </row>
    <row r="10" spans="1:7" x14ac:dyDescent="0.3">
      <c r="A10" s="7">
        <v>7</v>
      </c>
      <c r="B10" s="21">
        <v>46091</v>
      </c>
      <c r="C10" s="11" t="s">
        <v>22</v>
      </c>
      <c r="D10" s="11" t="s">
        <v>20</v>
      </c>
      <c r="E10" s="12" t="s">
        <v>10</v>
      </c>
      <c r="F10" s="13">
        <v>19.899999999999999</v>
      </c>
      <c r="G10" s="11" t="s">
        <v>21</v>
      </c>
    </row>
    <row r="11" spans="1:7" x14ac:dyDescent="0.3">
      <c r="A11" s="8">
        <v>8</v>
      </c>
      <c r="B11" s="20">
        <v>46093</v>
      </c>
      <c r="C11" s="16" t="s">
        <v>29</v>
      </c>
      <c r="D11" s="16" t="s">
        <v>30</v>
      </c>
      <c r="E11" s="17" t="s">
        <v>10</v>
      </c>
      <c r="F11" s="18">
        <v>450</v>
      </c>
      <c r="G11" s="16" t="s">
        <v>31</v>
      </c>
    </row>
    <row r="12" spans="1:7" x14ac:dyDescent="0.3">
      <c r="A12" s="7">
        <v>9</v>
      </c>
      <c r="B12" s="21">
        <v>46096</v>
      </c>
      <c r="C12" s="11" t="s">
        <v>32</v>
      </c>
      <c r="D12" s="11" t="s">
        <v>9</v>
      </c>
      <c r="E12" s="12" t="s">
        <v>10</v>
      </c>
      <c r="F12" s="13">
        <v>110</v>
      </c>
      <c r="G12" s="11" t="s">
        <v>33</v>
      </c>
    </row>
    <row r="13" spans="1:7" x14ac:dyDescent="0.3">
      <c r="A13" s="8">
        <v>10</v>
      </c>
      <c r="B13" s="20">
        <v>46099</v>
      </c>
      <c r="C13" s="16" t="s">
        <v>34</v>
      </c>
      <c r="D13" s="16" t="s">
        <v>16</v>
      </c>
      <c r="E13" s="17" t="s">
        <v>17</v>
      </c>
      <c r="F13" s="18">
        <v>500</v>
      </c>
      <c r="G13" s="16" t="s">
        <v>35</v>
      </c>
    </row>
    <row r="14" spans="1:7" x14ac:dyDescent="0.3">
      <c r="A14" s="7">
        <v>11</v>
      </c>
      <c r="B14" s="21">
        <v>46101</v>
      </c>
      <c r="C14" s="11" t="s">
        <v>36</v>
      </c>
      <c r="D14" s="11" t="s">
        <v>24</v>
      </c>
      <c r="E14" s="12" t="s">
        <v>10</v>
      </c>
      <c r="F14" s="13">
        <v>99.99</v>
      </c>
      <c r="G14" s="11" t="s">
        <v>21</v>
      </c>
    </row>
    <row r="15" spans="1:7" x14ac:dyDescent="0.3">
      <c r="A15" s="8">
        <v>12</v>
      </c>
      <c r="B15" s="20">
        <v>46103</v>
      </c>
      <c r="C15" s="16" t="s">
        <v>37</v>
      </c>
      <c r="D15" s="16" t="s">
        <v>38</v>
      </c>
      <c r="E15" s="17" t="s">
        <v>10</v>
      </c>
      <c r="F15" s="18">
        <v>48.5</v>
      </c>
      <c r="G15" s="16" t="s">
        <v>21</v>
      </c>
    </row>
    <row r="16" spans="1:7" x14ac:dyDescent="0.3">
      <c r="A16" s="7">
        <v>13</v>
      </c>
      <c r="B16" s="21">
        <v>46106</v>
      </c>
      <c r="C16" s="11" t="s">
        <v>39</v>
      </c>
      <c r="D16" s="11" t="s">
        <v>20</v>
      </c>
      <c r="E16" s="12" t="s">
        <v>10</v>
      </c>
      <c r="F16" s="13">
        <v>23.9</v>
      </c>
      <c r="G16" s="11" t="s">
        <v>21</v>
      </c>
    </row>
    <row r="17" spans="1:7" x14ac:dyDescent="0.3">
      <c r="A17" s="8">
        <v>14</v>
      </c>
      <c r="B17" s="20">
        <v>46106</v>
      </c>
      <c r="C17" s="16" t="s">
        <v>41</v>
      </c>
      <c r="D17" s="16" t="s">
        <v>42</v>
      </c>
      <c r="E17" s="17" t="s">
        <v>10</v>
      </c>
      <c r="F17" s="18">
        <v>250</v>
      </c>
      <c r="G17" s="16" t="s">
        <v>43</v>
      </c>
    </row>
    <row r="18" spans="1:7" x14ac:dyDescent="0.3">
      <c r="A18" s="7">
        <v>15</v>
      </c>
      <c r="B18" s="21">
        <v>46109</v>
      </c>
      <c r="C18" s="11" t="s">
        <v>44</v>
      </c>
      <c r="D18" s="11" t="s">
        <v>13</v>
      </c>
      <c r="E18" s="12" t="s">
        <v>10</v>
      </c>
      <c r="F18" s="13">
        <v>180</v>
      </c>
      <c r="G18" s="11"/>
    </row>
    <row r="19" spans="1:7" x14ac:dyDescent="0.3">
      <c r="A19" s="8">
        <v>16</v>
      </c>
      <c r="B19" s="20">
        <v>46109</v>
      </c>
      <c r="C19" s="16" t="s">
        <v>40</v>
      </c>
      <c r="D19" s="16" t="s">
        <v>38</v>
      </c>
      <c r="E19" s="17" t="s">
        <v>10</v>
      </c>
      <c r="F19" s="18">
        <v>350</v>
      </c>
      <c r="G19" s="16" t="s">
        <v>21</v>
      </c>
    </row>
    <row r="20" spans="1:7" x14ac:dyDescent="0.3">
      <c r="A20" s="22">
        <v>17</v>
      </c>
      <c r="B20" s="23">
        <v>46111</v>
      </c>
      <c r="C20" s="24" t="s">
        <v>46</v>
      </c>
      <c r="D20" s="24" t="s">
        <v>47</v>
      </c>
      <c r="E20" s="25" t="s">
        <v>10</v>
      </c>
      <c r="F20" s="13">
        <v>400</v>
      </c>
      <c r="G20" s="24" t="s">
        <v>48</v>
      </c>
    </row>
    <row r="21" spans="1:7" x14ac:dyDescent="0.3">
      <c r="A21" s="8"/>
      <c r="B21" s="20"/>
      <c r="C21" s="16"/>
      <c r="D21" s="16"/>
      <c r="E21" s="17"/>
      <c r="F21" s="18"/>
      <c r="G21" s="16"/>
    </row>
    <row r="22" spans="1:7" x14ac:dyDescent="0.3">
      <c r="A22" s="22"/>
      <c r="B22" s="23"/>
      <c r="C22" s="24"/>
      <c r="D22" s="24"/>
      <c r="E22" s="25"/>
      <c r="F22" s="26"/>
      <c r="G22" s="24"/>
    </row>
    <row r="23" spans="1:7" x14ac:dyDescent="0.3">
      <c r="A23" s="8"/>
      <c r="B23" s="20"/>
      <c r="C23" s="16"/>
      <c r="D23" s="16"/>
      <c r="E23" s="17"/>
      <c r="F23" s="18"/>
      <c r="G23" s="16"/>
    </row>
    <row r="24" spans="1:7" x14ac:dyDescent="0.3">
      <c r="A24" s="22"/>
      <c r="B24" s="23"/>
      <c r="C24" s="24"/>
      <c r="D24" s="24"/>
      <c r="E24" s="25"/>
      <c r="F24" s="26"/>
      <c r="G24" s="24"/>
    </row>
    <row r="25" spans="1:7" x14ac:dyDescent="0.3">
      <c r="A25" s="8"/>
      <c r="B25" s="20"/>
      <c r="C25" s="16"/>
      <c r="D25" s="16"/>
      <c r="E25" s="17"/>
      <c r="F25" s="18"/>
      <c r="G25" s="16"/>
    </row>
    <row r="26" spans="1:7" x14ac:dyDescent="0.3">
      <c r="A26" s="22"/>
      <c r="B26" s="23"/>
      <c r="C26" s="24"/>
      <c r="D26" s="24"/>
      <c r="E26" s="25"/>
      <c r="F26" s="26"/>
      <c r="G26" s="24"/>
    </row>
    <row r="27" spans="1:7" x14ac:dyDescent="0.3">
      <c r="A27" s="8"/>
      <c r="B27" s="20"/>
      <c r="C27" s="16"/>
      <c r="D27" s="16"/>
      <c r="E27" s="17"/>
      <c r="F27" s="18"/>
      <c r="G27" s="16"/>
    </row>
    <row r="28" spans="1:7" x14ac:dyDescent="0.3">
      <c r="A28" s="22"/>
      <c r="B28" s="23"/>
      <c r="C28" s="24"/>
      <c r="D28" s="24"/>
      <c r="E28" s="25"/>
      <c r="F28" s="26"/>
      <c r="G28" s="24"/>
    </row>
    <row r="29" spans="1:7" x14ac:dyDescent="0.3">
      <c r="A29" s="8"/>
      <c r="B29" s="20"/>
      <c r="C29" s="16"/>
      <c r="D29" s="16"/>
      <c r="E29" s="17"/>
      <c r="F29" s="18"/>
      <c r="G29" s="16"/>
    </row>
    <row r="30" spans="1:7" x14ac:dyDescent="0.3">
      <c r="A30" s="22"/>
      <c r="B30" s="23"/>
      <c r="C30" s="24"/>
      <c r="D30" s="24"/>
      <c r="E30" s="25"/>
      <c r="F30" s="26"/>
      <c r="G30" s="24"/>
    </row>
    <row r="31" spans="1:7" x14ac:dyDescent="0.3">
      <c r="A31" s="8"/>
      <c r="B31" s="20"/>
      <c r="C31" s="16"/>
      <c r="D31" s="16"/>
      <c r="E31" s="17"/>
      <c r="F31" s="18"/>
      <c r="G31" s="16"/>
    </row>
    <row r="32" spans="1:7" x14ac:dyDescent="0.3">
      <c r="A32" s="22"/>
      <c r="B32" s="23"/>
      <c r="C32" s="24"/>
      <c r="D32" s="24"/>
      <c r="E32" s="25"/>
      <c r="F32" s="26"/>
      <c r="G32" s="24"/>
    </row>
    <row r="33" spans="1:7" x14ac:dyDescent="0.3">
      <c r="A33" s="8"/>
      <c r="B33" s="20"/>
      <c r="C33" s="16"/>
      <c r="D33" s="16"/>
      <c r="E33" s="17"/>
      <c r="F33" s="18"/>
      <c r="G33" s="16"/>
    </row>
  </sheetData>
  <autoFilter ref="A3:G3" xr:uid="{38D8C286-5480-4DD7-93EB-2F1B448BAD0A}"/>
  <mergeCells count="1">
    <mergeCell ref="A1:G2"/>
  </mergeCells>
  <conditionalFormatting sqref="E4:E33">
    <cfRule type="containsText" dxfId="8" priority="1" operator="containsText" text="Receita">
      <formula>NOT(ISERROR(SEARCH("Receita",E4)))</formula>
    </cfRule>
    <cfRule type="containsText" dxfId="7" priority="2" operator="containsText" text="Despesa">
      <formula>NOT(ISERROR(SEARCH("Despesa",E4)))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B507C-07B9-4A13-AA04-EAC7893297B3}">
  <sheetPr>
    <tabColor rgb="FFC8BAAB"/>
  </sheetPr>
  <dimension ref="A1:D21"/>
  <sheetViews>
    <sheetView workbookViewId="0">
      <selection activeCell="C4" sqref="C4"/>
    </sheetView>
  </sheetViews>
  <sheetFormatPr defaultRowHeight="14.4" x14ac:dyDescent="0.3"/>
  <cols>
    <col min="1" max="1" width="3.109375" customWidth="1"/>
    <col min="2" max="2" width="18.44140625" customWidth="1"/>
    <col min="3" max="3" width="13.77734375" customWidth="1"/>
    <col min="4" max="4" width="16.21875" customWidth="1"/>
    <col min="5" max="5" width="10.5546875" bestFit="1" customWidth="1"/>
  </cols>
  <sheetData>
    <row r="1" spans="1:4" ht="48" customHeight="1" x14ac:dyDescent="0.3">
      <c r="A1" s="27"/>
      <c r="B1" s="58" t="s">
        <v>49</v>
      </c>
      <c r="C1" s="58"/>
      <c r="D1" s="58"/>
    </row>
    <row r="2" spans="1:4" ht="20.399999999999999" customHeight="1" x14ac:dyDescent="0.3"/>
    <row r="3" spans="1:4" ht="27" customHeight="1" x14ac:dyDescent="0.3">
      <c r="A3" s="28"/>
      <c r="B3" s="57" t="s">
        <v>50</v>
      </c>
      <c r="C3" s="57"/>
      <c r="D3" s="57"/>
    </row>
    <row r="4" spans="1:4" x14ac:dyDescent="0.3">
      <c r="A4" s="29"/>
      <c r="B4" s="1" t="s">
        <v>51</v>
      </c>
      <c r="C4" s="52">
        <f>SUMIF(Lançamento!E3:E20,"Receita",Lançamento!F3:F20)</f>
        <v>5250</v>
      </c>
      <c r="D4" s="29"/>
    </row>
    <row r="5" spans="1:4" x14ac:dyDescent="0.3">
      <c r="A5" s="29"/>
      <c r="B5" s="1" t="s">
        <v>52</v>
      </c>
      <c r="C5" s="51">
        <f>SUMIF(Lançamento!E4:E21,"Despesa",Lançamento!F4:F21)</f>
        <v>4399.6900000000005</v>
      </c>
      <c r="D5" s="29"/>
    </row>
    <row r="6" spans="1:4" x14ac:dyDescent="0.3">
      <c r="A6" s="29"/>
      <c r="B6" s="1" t="s">
        <v>53</v>
      </c>
      <c r="C6" s="52">
        <f>C4-C5</f>
        <v>850.30999999999949</v>
      </c>
      <c r="D6" s="29"/>
    </row>
    <row r="7" spans="1:4" x14ac:dyDescent="0.3">
      <c r="A7" s="29"/>
      <c r="B7" s="1" t="s">
        <v>54</v>
      </c>
      <c r="C7" s="1">
        <f>COUNTA(Lançamento!A4:A1048576)</f>
        <v>17</v>
      </c>
      <c r="D7" s="29"/>
    </row>
    <row r="8" spans="1:4" ht="17.399999999999999" customHeight="1" x14ac:dyDescent="0.3"/>
    <row r="9" spans="1:4" ht="28.8" customHeight="1" x14ac:dyDescent="0.3">
      <c r="A9" s="30"/>
      <c r="B9" s="57" t="s">
        <v>55</v>
      </c>
      <c r="C9" s="57"/>
      <c r="D9" s="57"/>
    </row>
    <row r="10" spans="1:4" x14ac:dyDescent="0.3">
      <c r="A10" s="31"/>
      <c r="B10" s="6" t="s">
        <v>4</v>
      </c>
      <c r="C10" s="6" t="s">
        <v>56</v>
      </c>
      <c r="D10" s="6" t="s">
        <v>57</v>
      </c>
    </row>
    <row r="11" spans="1:4" x14ac:dyDescent="0.3">
      <c r="A11" s="33"/>
      <c r="B11" s="34" t="s">
        <v>9</v>
      </c>
      <c r="C11" s="35">
        <f>SUM(Lançamento!F4,Lançamento!F12)</f>
        <v>1110</v>
      </c>
      <c r="D11" s="36">
        <f>C11/C5</f>
        <v>0.25229050228538824</v>
      </c>
    </row>
    <row r="12" spans="1:4" x14ac:dyDescent="0.3">
      <c r="A12" s="31"/>
      <c r="B12" s="32" t="s">
        <v>13</v>
      </c>
      <c r="C12" s="37">
        <f>SUM(Lançamento!F5,Lançamento!F18)</f>
        <v>430</v>
      </c>
      <c r="D12" s="38">
        <f>C12/C5</f>
        <v>9.7734158542988239E-2</v>
      </c>
    </row>
    <row r="13" spans="1:4" x14ac:dyDescent="0.3">
      <c r="A13" s="33"/>
      <c r="B13" s="34" t="s">
        <v>20</v>
      </c>
      <c r="C13" s="35">
        <f>SUM(Lançamento!F6,Lançamento!F10,Lançamento!F16)</f>
        <v>64.699999999999989</v>
      </c>
      <c r="D13" s="36">
        <f>C13/C5</f>
        <v>1.4705581529607763E-2</v>
      </c>
    </row>
    <row r="14" spans="1:4" x14ac:dyDescent="0.3">
      <c r="A14" s="31"/>
      <c r="B14" s="32" t="s">
        <v>16</v>
      </c>
      <c r="C14" s="37">
        <v>0</v>
      </c>
      <c r="D14" s="39">
        <v>0</v>
      </c>
    </row>
    <row r="15" spans="1:4" x14ac:dyDescent="0.3">
      <c r="A15" s="33"/>
      <c r="B15" s="34" t="s">
        <v>24</v>
      </c>
      <c r="C15" s="35">
        <f>SUM(Lançamento!F8,Lançamento!F14)</f>
        <v>196.49</v>
      </c>
      <c r="D15" s="36">
        <f>C15/C5</f>
        <v>4.4659964679329679E-2</v>
      </c>
    </row>
    <row r="16" spans="1:4" x14ac:dyDescent="0.3">
      <c r="A16" s="31"/>
      <c r="B16" s="32" t="s">
        <v>27</v>
      </c>
      <c r="C16" s="37">
        <f>SUM(Lançamento!F9)</f>
        <v>1100</v>
      </c>
      <c r="D16" s="38">
        <f>C16/C5</f>
        <v>0.25001761487741181</v>
      </c>
    </row>
    <row r="17" spans="1:4" x14ac:dyDescent="0.3">
      <c r="A17" s="33"/>
      <c r="B17" s="34" t="s">
        <v>30</v>
      </c>
      <c r="C17" s="35">
        <f>SUM(Lançamento!F11)</f>
        <v>450</v>
      </c>
      <c r="D17" s="36">
        <f>C17/C5</f>
        <v>0.10227993335894119</v>
      </c>
    </row>
    <row r="18" spans="1:4" x14ac:dyDescent="0.3">
      <c r="A18" s="31"/>
      <c r="B18" s="32" t="s">
        <v>38</v>
      </c>
      <c r="C18" s="37">
        <f>SUM(Lançamento!F15,Lançamento!F19)</f>
        <v>398.5</v>
      </c>
      <c r="D18" s="38">
        <f>C18/C5</f>
        <v>9.0574563207862363E-2</v>
      </c>
    </row>
    <row r="19" spans="1:4" x14ac:dyDescent="0.3">
      <c r="A19" s="33"/>
      <c r="B19" s="34" t="s">
        <v>42</v>
      </c>
      <c r="C19" s="35">
        <f>SUM(Lançamento!F17)</f>
        <v>250</v>
      </c>
      <c r="D19" s="36">
        <f>C19/C5</f>
        <v>5.6822185199411769E-2</v>
      </c>
    </row>
    <row r="20" spans="1:4" x14ac:dyDescent="0.3">
      <c r="A20" s="31"/>
      <c r="B20" s="32" t="s">
        <v>45</v>
      </c>
      <c r="C20" s="37">
        <f>SUM(Lançamento!F20)</f>
        <v>400</v>
      </c>
      <c r="D20" s="38">
        <f>C20/C5</f>
        <v>9.0915496319058833E-2</v>
      </c>
    </row>
    <row r="21" spans="1:4" x14ac:dyDescent="0.3">
      <c r="A21" s="28"/>
      <c r="B21" s="40" t="s">
        <v>58</v>
      </c>
      <c r="C21" s="41">
        <f>SUM(C11:C20)</f>
        <v>4399.6900000000005</v>
      </c>
      <c r="D21" s="42">
        <f>SUM(D11:D20)</f>
        <v>0.99999999999999978</v>
      </c>
    </row>
  </sheetData>
  <mergeCells count="3">
    <mergeCell ref="B3:D3"/>
    <mergeCell ref="B1:D1"/>
    <mergeCell ref="B9:D9"/>
  </mergeCells>
  <conditionalFormatting sqref="B4">
    <cfRule type="containsText" dxfId="6" priority="7" operator="containsText" text="Total de Receitas">
      <formula>NOT(ISERROR(SEARCH("Total de Receitas",B4)))</formula>
    </cfRule>
    <cfRule type="containsText" dxfId="5" priority="9" operator="containsText" text="Total de Receitas">
      <formula>NOT(ISERROR(SEARCH("Total de Receitas",B4)))</formula>
    </cfRule>
    <cfRule type="containsText" dxfId="4" priority="11" operator="containsText" text="Total de Receitas">
      <formula>NOT(ISERROR(SEARCH("Total de Receitas",B4)))</formula>
    </cfRule>
  </conditionalFormatting>
  <conditionalFormatting sqref="B5">
    <cfRule type="containsText" dxfId="3" priority="5" operator="containsText" text="Total de Despesas">
      <formula>NOT(ISERROR(SEARCH("Total de Despesas",B5)))</formula>
    </cfRule>
  </conditionalFormatting>
  <conditionalFormatting sqref="B6">
    <cfRule type="containsText" dxfId="2" priority="3" operator="containsText" text="Saldo do Mês">
      <formula>NOT(ISERROR(SEARCH("Saldo do Mês",B6)))</formula>
    </cfRule>
  </conditionalFormatting>
  <conditionalFormatting sqref="C6">
    <cfRule type="containsText" dxfId="1" priority="1" operator="containsText" text="850">
      <formula>NOT(ISERROR(SEARCH("850",C6)))</formula>
    </cfRule>
    <cfRule type="containsText" dxfId="0" priority="2" operator="containsText" text="850,31">
      <formula>NOT(ISERROR(SEARCH("850,31",C6)))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A8590-966C-4F5C-80E5-D5FF702787EC}">
  <sheetPr>
    <tabColor rgb="FFC8BAAB"/>
  </sheetPr>
  <dimension ref="A1:M20"/>
  <sheetViews>
    <sheetView showGridLines="0" workbookViewId="0">
      <selection activeCell="F4" sqref="F4"/>
    </sheetView>
  </sheetViews>
  <sheetFormatPr defaultRowHeight="14.4" x14ac:dyDescent="0.3"/>
  <cols>
    <col min="1" max="1" width="4" customWidth="1"/>
    <col min="2" max="2" width="16.6640625" customWidth="1"/>
    <col min="3" max="3" width="4.5546875" customWidth="1"/>
    <col min="4" max="4" width="19.88671875" customWidth="1"/>
    <col min="5" max="5" width="4.5546875" customWidth="1"/>
    <col min="6" max="6" width="17.109375" customWidth="1"/>
    <col min="7" max="7" width="4.21875" customWidth="1"/>
    <col min="8" max="8" width="18.5546875" customWidth="1"/>
    <col min="12" max="12" width="14.77734375" customWidth="1"/>
    <col min="13" max="13" width="14" customWidth="1"/>
  </cols>
  <sheetData>
    <row r="1" spans="1:13" ht="43.2" customHeight="1" x14ac:dyDescent="0.4">
      <c r="A1" s="50"/>
      <c r="B1" s="59" t="s">
        <v>59</v>
      </c>
      <c r="C1" s="59"/>
      <c r="D1" s="59"/>
      <c r="E1" s="59"/>
      <c r="F1" s="59"/>
      <c r="G1" s="59"/>
      <c r="H1" s="59"/>
    </row>
    <row r="3" spans="1:13" ht="25.8" customHeight="1" x14ac:dyDescent="0.3">
      <c r="B3" s="43" t="s">
        <v>60</v>
      </c>
      <c r="D3" s="45" t="s">
        <v>61</v>
      </c>
      <c r="F3" s="47" t="s">
        <v>62</v>
      </c>
      <c r="H3" s="49" t="s">
        <v>63</v>
      </c>
    </row>
    <row r="4" spans="1:13" ht="21.6" customHeight="1" x14ac:dyDescent="0.3">
      <c r="B4" s="44">
        <f>SUM('Resumo Mensal'!C4)</f>
        <v>5250</v>
      </c>
      <c r="D4" s="46">
        <f>SUM('Resumo Mensal'!C5)</f>
        <v>4399.6900000000005</v>
      </c>
      <c r="F4" s="48">
        <f>SUM('Resumo Mensal'!C6)</f>
        <v>850.30999999999949</v>
      </c>
      <c r="H4" s="49">
        <f>SUM('Resumo Mensal'!C7)</f>
        <v>17</v>
      </c>
    </row>
    <row r="10" spans="1:13" x14ac:dyDescent="0.3">
      <c r="L10" s="6" t="s">
        <v>4</v>
      </c>
      <c r="M10" s="6" t="s">
        <v>64</v>
      </c>
    </row>
    <row r="11" spans="1:13" x14ac:dyDescent="0.3">
      <c r="L11" s="34" t="s">
        <v>9</v>
      </c>
      <c r="M11" s="35">
        <f>SUM('Resumo Mensal'!C11)</f>
        <v>1110</v>
      </c>
    </row>
    <row r="12" spans="1:13" x14ac:dyDescent="0.3">
      <c r="L12" s="32" t="s">
        <v>13</v>
      </c>
      <c r="M12" s="37">
        <f>SUM('Resumo Mensal'!C12)</f>
        <v>430</v>
      </c>
    </row>
    <row r="13" spans="1:13" x14ac:dyDescent="0.3">
      <c r="L13" s="34" t="s">
        <v>20</v>
      </c>
      <c r="M13" s="35">
        <f>SUM('Resumo Mensal'!C13)</f>
        <v>64.699999999999989</v>
      </c>
    </row>
    <row r="14" spans="1:13" x14ac:dyDescent="0.3">
      <c r="L14" s="32" t="s">
        <v>16</v>
      </c>
      <c r="M14" s="37">
        <f>SUM('Resumo Mensal'!C14)</f>
        <v>0</v>
      </c>
    </row>
    <row r="15" spans="1:13" x14ac:dyDescent="0.3">
      <c r="L15" s="34" t="s">
        <v>24</v>
      </c>
      <c r="M15" s="35">
        <f>SUM('Resumo Mensal'!C15)</f>
        <v>196.49</v>
      </c>
    </row>
    <row r="16" spans="1:13" x14ac:dyDescent="0.3">
      <c r="L16" s="32" t="s">
        <v>27</v>
      </c>
      <c r="M16" s="37">
        <f>SUM('Resumo Mensal'!C16)</f>
        <v>1100</v>
      </c>
    </row>
    <row r="17" spans="12:13" x14ac:dyDescent="0.3">
      <c r="L17" s="34" t="s">
        <v>30</v>
      </c>
      <c r="M17" s="35">
        <f>SUM('Resumo Mensal'!C17)</f>
        <v>450</v>
      </c>
    </row>
    <row r="18" spans="12:13" x14ac:dyDescent="0.3">
      <c r="L18" s="32" t="s">
        <v>38</v>
      </c>
      <c r="M18" s="37">
        <f>SUM('Resumo Mensal'!C18)</f>
        <v>398.5</v>
      </c>
    </row>
    <row r="19" spans="12:13" x14ac:dyDescent="0.3">
      <c r="L19" s="34" t="s">
        <v>42</v>
      </c>
      <c r="M19" s="35">
        <f>SUM('Resumo Mensal'!C19)</f>
        <v>250</v>
      </c>
    </row>
    <row r="20" spans="12:13" x14ac:dyDescent="0.3">
      <c r="L20" s="32" t="s">
        <v>45</v>
      </c>
      <c r="M20" s="37">
        <f>SUM('Resumo Mensal'!C20)</f>
        <v>400</v>
      </c>
    </row>
  </sheetData>
  <mergeCells count="1">
    <mergeCell ref="B1:H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Lançamento</vt:lpstr>
      <vt:lpstr>Resumo Mensal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kamila martins</dc:creator>
  <cp:lastModifiedBy>kamila martins</cp:lastModifiedBy>
  <dcterms:created xsi:type="dcterms:W3CDTF">2026-05-09T20:36:29Z</dcterms:created>
  <dcterms:modified xsi:type="dcterms:W3CDTF">2026-05-10T01:50:33Z</dcterms:modified>
</cp:coreProperties>
</file>